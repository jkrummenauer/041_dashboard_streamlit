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8abb77c41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Conferencia" sheetId="1" r:id="R3478a56c3bdf448e"/>
    <x:sheet xmlns:r="http://schemas.openxmlformats.org/officeDocument/2006/relationships" name="Instrucoes" sheetId="2" r:id="R361f5fad0c21433f"/>
    <x:sheet xmlns:r="http://schemas.openxmlformats.org/officeDocument/2006/relationships" name="Resumo_Excel" sheetId="3" r:id="R4f49bd93edd247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991B1B"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e65bd401f468d" /><Relationship Type="http://schemas.openxmlformats.org/officeDocument/2006/relationships/theme" Target="/xl/theme/theme1.xml" Id="R7361679afef44283" /><Relationship Type="http://schemas.openxmlformats.org/officeDocument/2006/relationships/sharedStrings" Target="/xl/sharedStrings.xml" Id="R6e1ba94e674d49f0" /><Relationship Type="http://schemas.openxmlformats.org/officeDocument/2006/relationships/worksheet" Target="/xl/worksheets/sheet1.xml" Id="R3478a56c3bdf448e" /><Relationship Type="http://schemas.openxmlformats.org/officeDocument/2006/relationships/worksheet" Target="/xl/worksheets/sheet2.xml" Id="R361f5fad0c21433f" /><Relationship Type="http://schemas.openxmlformats.org/officeDocument/2006/relationships/worksheet" Target="/xl/worksheets/sheet3.xml" Id="R4f49bd93edd2475c" /></Relationships>
</file>

<file path=xl/tables/table1.xml><?xml version="1.0" encoding="utf-8"?>
<x:table xmlns:x="http://schemas.openxmlformats.org/spreadsheetml/2006/main" id="1" name="TabelaConferencia" displayName="TabelaConferencia" ref="A1:H26" headerRowCount="1">
  <x:tableColumns count="8">
    <x:tableColumn id="1" name="data"/>
    <x:tableColumn id="2" name="conferencia_id"/>
    <x:tableColumn id="3" name="fornecedor"/>
    <x:tableColumn id="4" name="tipo_mercadoria"/>
    <x:tableColumn id="5" name="conferente"/>
    <x:tableColumn id="6" name="volume_conferido"/>
    <x:tableColumn id="7" name="tempo_minutos"/>
    <x:tableColumn id="8" name="divergenci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9034b54c114446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1.979999542236328" hidden="0" customWidth="1"/>
    <x:col min="3" max="3" width="10.770000457763672" hidden="0" customWidth="1"/>
    <x:col min="4" max="4" width="13.460000038146973" hidden="0" customWidth="1"/>
    <x:col min="5" max="5" width="8.75" hidden="0" customWidth="1"/>
    <x:col min="6" max="6" width="14.800000190734863" hidden="0" customWidth="1"/>
    <x:col min="7" max="7" width="13.0600004196167" hidden="0" customWidth="1"/>
    <x:col min="8" max="8" width="10.09000015258789" hidden="0" customWidth="1"/>
  </x:cols>
  <x:sheetData>
    <x:row r="1">
      <x:c r="A1" s="14" t="str">
        <x:v>data</x:v>
      </x:c>
      <x:c r="B1" s="14" t="str">
        <x:v>conferencia_id</x:v>
      </x:c>
      <x:c r="C1" s="14" t="str">
        <x:v>fornecedor</x:v>
      </x:c>
      <x:c r="D1" s="14" t="str">
        <x:v>tipo_mercadoria</x:v>
      </x:c>
      <x:c r="E1" s="14" t="str">
        <x:v>conferente</x:v>
      </x:c>
      <x:c r="F1" s="14" t="str">
        <x:v>volume_conferido</x:v>
      </x:c>
      <x:c r="G1" s="14" t="str">
        <x:v>tempo_minutos</x:v>
      </x:c>
      <x:c r="H1" s="14" t="str">
        <x:v>divergencias</x:v>
      </x:c>
    </x:row>
    <x:row r="2">
      <x:c r="A2" s="15" t="n">
        <x:v>46174</x:v>
      </x:c>
      <x:c r="B2" s="16" t="str">
        <x:v>CONF-1001</x:v>
      </x:c>
      <x:c r="C2" s="16" t="str">
        <x:v>Fornecedor A</x:v>
      </x:c>
      <x:c r="D2" s="16" t="str">
        <x:v>Mercearia</x:v>
      </x:c>
      <x:c r="E2" s="16" t="str">
        <x:v>Carlos</x:v>
      </x:c>
      <x:c r="F2" s="17" t="n">
        <x:v>120</x:v>
      </x:c>
      <x:c r="G2" s="17" t="n">
        <x:v>45</x:v>
      </x:c>
      <x:c r="H2" s="17" t="n">
        <x:v>2</x:v>
      </x:c>
    </x:row>
    <x:row r="3">
      <x:c r="A3" s="15" t="n">
        <x:v>46174</x:v>
      </x:c>
      <x:c r="B3" s="16" t="str">
        <x:v>CONF-1002</x:v>
      </x:c>
      <x:c r="C3" s="16" t="str">
        <x:v>Fornecedor B</x:v>
      </x:c>
      <x:c r="D3" s="16" t="str">
        <x:v>Frios</x:v>
      </x:c>
      <x:c r="E3" s="16" t="str">
        <x:v>Ana</x:v>
      </x:c>
      <x:c r="F3" s="17" t="n">
        <x:v>80</x:v>
      </x:c>
      <x:c r="G3" s="17" t="n">
        <x:v>35</x:v>
      </x:c>
      <x:c r="H3" s="17" t="n">
        <x:v>0</x:v>
      </x:c>
    </x:row>
    <x:row r="4">
      <x:c r="A4" s="15" t="n">
        <x:v>46174</x:v>
      </x:c>
      <x:c r="B4" s="16" t="str">
        <x:v>CONF-1003</x:v>
      </x:c>
      <x:c r="C4" s="16" t="str">
        <x:v>Fornecedor C</x:v>
      </x:c>
      <x:c r="D4" s="16" t="str">
        <x:v>Hortifruti</x:v>
      </x:c>
      <x:c r="E4" s="16" t="str">
        <x:v>João</x:v>
      </x:c>
      <x:c r="F4" s="17" t="n">
        <x:v>150</x:v>
      </x:c>
      <x:c r="G4" s="17" t="n">
        <x:v>60</x:v>
      </x:c>
      <x:c r="H4" s="17" t="n">
        <x:v>4</x:v>
      </x:c>
    </x:row>
    <x:row r="5">
      <x:c r="A5" s="15" t="n">
        <x:v>46175</x:v>
      </x:c>
      <x:c r="B5" s="16" t="str">
        <x:v>CONF-1004</x:v>
      </x:c>
      <x:c r="C5" s="16" t="str">
        <x:v>Fornecedor A</x:v>
      </x:c>
      <x:c r="D5" s="16" t="str">
        <x:v>Mercearia</x:v>
      </x:c>
      <x:c r="E5" s="16" t="str">
        <x:v>Ana</x:v>
      </x:c>
      <x:c r="F5" s="17" t="n">
        <x:v>130</x:v>
      </x:c>
      <x:c r="G5" s="17" t="n">
        <x:v>50</x:v>
      </x:c>
      <x:c r="H5" s="17" t="n">
        <x:v>1</x:v>
      </x:c>
    </x:row>
    <x:row r="6">
      <x:c r="A6" s="15" t="n">
        <x:v>46175</x:v>
      </x:c>
      <x:c r="B6" s="16" t="str">
        <x:v>CONF-1005</x:v>
      </x:c>
      <x:c r="C6" s="16" t="str">
        <x:v>Fornecedor B</x:v>
      </x:c>
      <x:c r="D6" s="16" t="str">
        <x:v>Frios</x:v>
      </x:c>
      <x:c r="E6" s="16" t="str">
        <x:v>Carlos</x:v>
      </x:c>
      <x:c r="F6" s="17" t="n">
        <x:v>90</x:v>
      </x:c>
      <x:c r="G6" s="17" t="n">
        <x:v>40</x:v>
      </x:c>
      <x:c r="H6" s="17" t="n">
        <x:v>3</x:v>
      </x:c>
    </x:row>
    <x:row r="7">
      <x:c r="A7" s="15" t="n">
        <x:v>46175</x:v>
      </x:c>
      <x:c r="B7" s="16" t="str">
        <x:v>CONF-1006</x:v>
      </x:c>
      <x:c r="C7" s="16" t="str">
        <x:v>Fornecedor D</x:v>
      </x:c>
      <x:c r="D7" s="16" t="str">
        <x:v>Bebidas</x:v>
      </x:c>
      <x:c r="E7" s="16" t="str">
        <x:v>João</x:v>
      </x:c>
      <x:c r="F7" s="17" t="n">
        <x:v>200</x:v>
      </x:c>
      <x:c r="G7" s="17" t="n">
        <x:v>70</x:v>
      </x:c>
      <x:c r="H7" s="17" t="n">
        <x:v>2</x:v>
      </x:c>
    </x:row>
    <x:row r="8">
      <x:c r="A8" s="15" t="n">
        <x:v>46176</x:v>
      </x:c>
      <x:c r="B8" s="16" t="str">
        <x:v>CONF-1007</x:v>
      </x:c>
      <x:c r="C8" s="16" t="str">
        <x:v>Fornecedor A</x:v>
      </x:c>
      <x:c r="D8" s="16" t="str">
        <x:v>Mercearia</x:v>
      </x:c>
      <x:c r="E8" s="16" t="str">
        <x:v>Ana</x:v>
      </x:c>
      <x:c r="F8" s="17" t="n">
        <x:v>160</x:v>
      </x:c>
      <x:c r="G8" s="17" t="n">
        <x:v>55</x:v>
      </x:c>
      <x:c r="H8" s="17" t="n">
        <x:v>0</x:v>
      </x:c>
    </x:row>
    <x:row r="9">
      <x:c r="A9" s="15" t="n">
        <x:v>46176</x:v>
      </x:c>
      <x:c r="B9" s="16" t="str">
        <x:v>CONF-1008</x:v>
      </x:c>
      <x:c r="C9" s="16" t="str">
        <x:v>Fornecedor C</x:v>
      </x:c>
      <x:c r="D9" s="16" t="str">
        <x:v>Hortifruti</x:v>
      </x:c>
      <x:c r="E9" s="16" t="str">
        <x:v>Carlos</x:v>
      </x:c>
      <x:c r="F9" s="17" t="n">
        <x:v>110</x:v>
      </x:c>
      <x:c r="G9" s="17" t="n">
        <x:v>48</x:v>
      </x:c>
      <x:c r="H9" s="17" t="n">
        <x:v>2</x:v>
      </x:c>
    </x:row>
    <x:row r="10">
      <x:c r="A10" s="15" t="n">
        <x:v>46176</x:v>
      </x:c>
      <x:c r="B10" s="16" t="str">
        <x:v>CONF-1009</x:v>
      </x:c>
      <x:c r="C10" s="16" t="str">
        <x:v>Fornecedor D</x:v>
      </x:c>
      <x:c r="D10" s="16" t="str">
        <x:v>Bebidas</x:v>
      </x:c>
      <x:c r="E10" s="16" t="str">
        <x:v>João</x:v>
      </x:c>
      <x:c r="F10" s="17" t="n">
        <x:v>210</x:v>
      </x:c>
      <x:c r="G10" s="17" t="n">
        <x:v>75</x:v>
      </x:c>
      <x:c r="H10" s="17" t="n">
        <x:v>5</x:v>
      </x:c>
    </x:row>
    <x:row r="11">
      <x:c r="A11" s="15" t="n">
        <x:v>46177</x:v>
      </x:c>
      <x:c r="B11" s="16" t="str">
        <x:v>CONF-1010</x:v>
      </x:c>
      <x:c r="C11" s="16" t="str">
        <x:v>Fornecedor E</x:v>
      </x:c>
      <x:c r="D11" s="16" t="str">
        <x:v>Limpeza</x:v>
      </x:c>
      <x:c r="E11" s="16" t="str">
        <x:v>Marcos</x:v>
      </x:c>
      <x:c r="F11" s="17" t="n">
        <x:v>140</x:v>
      </x:c>
      <x:c r="G11" s="17" t="n">
        <x:v>50</x:v>
      </x:c>
      <x:c r="H11" s="17" t="n">
        <x:v>1</x:v>
      </x:c>
    </x:row>
    <x:row r="12">
      <x:c r="A12" s="15" t="n">
        <x:v>46177</x:v>
      </x:c>
      <x:c r="B12" s="16" t="str">
        <x:v>CONF-1011</x:v>
      </x:c>
      <x:c r="C12" s="16" t="str">
        <x:v>Fornecedor A</x:v>
      </x:c>
      <x:c r="D12" s="16" t="str">
        <x:v>Mercearia</x:v>
      </x:c>
      <x:c r="E12" s="16" t="str">
        <x:v>Carlos</x:v>
      </x:c>
      <x:c r="F12" s="17" t="n">
        <x:v>180</x:v>
      </x:c>
      <x:c r="G12" s="17" t="n">
        <x:v>65</x:v>
      </x:c>
      <x:c r="H12" s="17" t="n">
        <x:v>0</x:v>
      </x:c>
    </x:row>
    <x:row r="13">
      <x:c r="A13" s="15" t="n">
        <x:v>46177</x:v>
      </x:c>
      <x:c r="B13" s="16" t="str">
        <x:v>CONF-1012</x:v>
      </x:c>
      <x:c r="C13" s="16" t="str">
        <x:v>Fornecedor B</x:v>
      </x:c>
      <x:c r="D13" s="16" t="str">
        <x:v>Frios</x:v>
      </x:c>
      <x:c r="E13" s="16" t="str">
        <x:v>Ana</x:v>
      </x:c>
      <x:c r="F13" s="17" t="n">
        <x:v>95</x:v>
      </x:c>
      <x:c r="G13" s="17" t="n">
        <x:v>42</x:v>
      </x:c>
      <x:c r="H13" s="17" t="n">
        <x:v>2</x:v>
      </x:c>
    </x:row>
    <x:row r="14">
      <x:c r="A14" s="15" t="n">
        <x:v>46178</x:v>
      </x:c>
      <x:c r="B14" s="16" t="str">
        <x:v>CONF-1013</x:v>
      </x:c>
      <x:c r="C14" s="16" t="str">
        <x:v>Fornecedor C</x:v>
      </x:c>
      <x:c r="D14" s="16" t="str">
        <x:v>Hortifruti</x:v>
      </x:c>
      <x:c r="E14" s="16" t="str">
        <x:v>Marcos</x:v>
      </x:c>
      <x:c r="F14" s="17" t="n">
        <x:v>170</x:v>
      </x:c>
      <x:c r="G14" s="17" t="n">
        <x:v>68</x:v>
      </x:c>
      <x:c r="H14" s="17" t="n">
        <x:v>4</x:v>
      </x:c>
    </x:row>
    <x:row r="15">
      <x:c r="A15" s="15" t="n">
        <x:v>46178</x:v>
      </x:c>
      <x:c r="B15" s="16" t="str">
        <x:v>CONF-1014</x:v>
      </x:c>
      <x:c r="C15" s="16" t="str">
        <x:v>Fornecedor D</x:v>
      </x:c>
      <x:c r="D15" s="16" t="str">
        <x:v>Bebidas</x:v>
      </x:c>
      <x:c r="E15" s="16" t="str">
        <x:v>João</x:v>
      </x:c>
      <x:c r="F15" s="17" t="n">
        <x:v>230</x:v>
      </x:c>
      <x:c r="G15" s="17" t="n">
        <x:v>80</x:v>
      </x:c>
      <x:c r="H15" s="17" t="n">
        <x:v>3</x:v>
      </x:c>
    </x:row>
    <x:row r="16">
      <x:c r="A16" s="15" t="n">
        <x:v>46178</x:v>
      </x:c>
      <x:c r="B16" s="16" t="str">
        <x:v>CONF-1015</x:v>
      </x:c>
      <x:c r="C16" s="16" t="str">
        <x:v>Fornecedor E</x:v>
      </x:c>
      <x:c r="D16" s="16" t="str">
        <x:v>Limpeza</x:v>
      </x:c>
      <x:c r="E16" s="16" t="str">
        <x:v>Ana</x:v>
      </x:c>
      <x:c r="F16" s="17" t="n">
        <x:v>125</x:v>
      </x:c>
      <x:c r="G16" s="17" t="n">
        <x:v>47</x:v>
      </x:c>
      <x:c r="H16" s="17" t="n">
        <x:v>1</x:v>
      </x:c>
    </x:row>
    <x:row r="17">
      <x:c r="A17" s="15" t="n">
        <x:v>46179</x:v>
      </x:c>
      <x:c r="B17" s="16" t="str">
        <x:v>CONF-1016</x:v>
      </x:c>
      <x:c r="C17" s="16" t="str">
        <x:v>Fornecedor A</x:v>
      </x:c>
      <x:c r="D17" s="16" t="str">
        <x:v>Mercearia</x:v>
      </x:c>
      <x:c r="E17" s="16" t="str">
        <x:v>Marcos</x:v>
      </x:c>
      <x:c r="F17" s="17" t="n">
        <x:v>155</x:v>
      </x:c>
      <x:c r="G17" s="17" t="n">
        <x:v>60</x:v>
      </x:c>
      <x:c r="H17" s="17" t="n">
        <x:v>2</x:v>
      </x:c>
    </x:row>
    <x:row r="18">
      <x:c r="A18" s="15" t="n">
        <x:v>46179</x:v>
      </x:c>
      <x:c r="B18" s="16" t="str">
        <x:v>CONF-1017</x:v>
      </x:c>
      <x:c r="C18" s="16" t="str">
        <x:v>Fornecedor B</x:v>
      </x:c>
      <x:c r="D18" s="16" t="str">
        <x:v>Frios</x:v>
      </x:c>
      <x:c r="E18" s="16" t="str">
        <x:v>Carlos</x:v>
      </x:c>
      <x:c r="F18" s="17" t="n">
        <x:v>100</x:v>
      </x:c>
      <x:c r="G18" s="17" t="n">
        <x:v>38</x:v>
      </x:c>
      <x:c r="H18" s="17" t="n">
        <x:v>1</x:v>
      </x:c>
    </x:row>
    <x:row r="19">
      <x:c r="A19" s="15" t="n">
        <x:v>46179</x:v>
      </x:c>
      <x:c r="B19" s="16" t="str">
        <x:v>CONF-1018</x:v>
      </x:c>
      <x:c r="C19" s="16" t="str">
        <x:v>Fornecedor D</x:v>
      </x:c>
      <x:c r="D19" s="16" t="str">
        <x:v>Bebidas</x:v>
      </x:c>
      <x:c r="E19" s="16" t="str">
        <x:v>João</x:v>
      </x:c>
      <x:c r="F19" s="17" t="n">
        <x:v>250</x:v>
      </x:c>
      <x:c r="G19" s="17" t="n">
        <x:v>85</x:v>
      </x:c>
      <x:c r="H19" s="17" t="n">
        <x:v>4</x:v>
      </x:c>
    </x:row>
    <x:row r="20">
      <x:c r="A20" s="15" t="n">
        <x:v>46180</x:v>
      </x:c>
      <x:c r="B20" s="16" t="str">
        <x:v>CONF-1019</x:v>
      </x:c>
      <x:c r="C20" s="16" t="str">
        <x:v>Fornecedor F</x:v>
      </x:c>
      <x:c r="D20" s="16" t="str">
        <x:v>Padaria</x:v>
      </x:c>
      <x:c r="E20" s="16" t="str">
        <x:v>Ana</x:v>
      </x:c>
      <x:c r="F20" s="17" t="n">
        <x:v>115</x:v>
      </x:c>
      <x:c r="G20" s="17" t="n">
        <x:v>44</x:v>
      </x:c>
      <x:c r="H20" s="17" t="n">
        <x:v>0</x:v>
      </x:c>
    </x:row>
    <x:row r="21">
      <x:c r="A21" s="15" t="n">
        <x:v>46180</x:v>
      </x:c>
      <x:c r="B21" s="16" t="str">
        <x:v>CONF-1020</x:v>
      </x:c>
      <x:c r="C21" s="16" t="str">
        <x:v>Fornecedor G</x:v>
      </x:c>
      <x:c r="D21" s="16" t="str">
        <x:v>Congelados</x:v>
      </x:c>
      <x:c r="E21" s="16" t="str">
        <x:v>Carlos</x:v>
      </x:c>
      <x:c r="F21" s="17" t="n">
        <x:v>135</x:v>
      </x:c>
      <x:c r="G21" s="17" t="n">
        <x:v>58</x:v>
      </x:c>
      <x:c r="H21" s="17" t="n">
        <x:v>3</x:v>
      </x:c>
    </x:row>
    <x:row r="22">
      <x:c r="A22" s="15" t="n">
        <x:v>46181</x:v>
      </x:c>
      <x:c r="B22" s="16" t="str">
        <x:v>CONF-1021</x:v>
      </x:c>
      <x:c r="C22" s="16" t="str">
        <x:v>Fornecedor H</x:v>
      </x:c>
      <x:c r="D22" s="16" t="str">
        <x:v>Bazar</x:v>
      </x:c>
      <x:c r="E22" s="16" t="str">
        <x:v>Marcos</x:v>
      </x:c>
      <x:c r="F22" s="17" t="n">
        <x:v>175</x:v>
      </x:c>
      <x:c r="G22" s="17" t="n">
        <x:v>72</x:v>
      </x:c>
      <x:c r="H22" s="17" t="n">
        <x:v>2</x:v>
      </x:c>
    </x:row>
    <x:row r="23">
      <x:c r="A23" s="15" t="n">
        <x:v>46181</x:v>
      </x:c>
      <x:c r="B23" s="16" t="str">
        <x:v>CONF-1022</x:v>
      </x:c>
      <x:c r="C23" s="16" t="str">
        <x:v>Fornecedor D</x:v>
      </x:c>
      <x:c r="D23" s="16" t="str">
        <x:v>Bebidas</x:v>
      </x:c>
      <x:c r="E23" s="16" t="str">
        <x:v>João</x:v>
      </x:c>
      <x:c r="F23" s="17" t="n">
        <x:v>260</x:v>
      </x:c>
      <x:c r="G23" s="17" t="n">
        <x:v>82</x:v>
      </x:c>
      <x:c r="H23" s="17" t="n">
        <x:v>1</x:v>
      </x:c>
    </x:row>
    <x:row r="24">
      <x:c r="A24" s="15" t="n">
        <x:v>46182</x:v>
      </x:c>
      <x:c r="B24" s="16" t="str">
        <x:v>CONF-1023</x:v>
      </x:c>
      <x:c r="C24" s="16" t="str">
        <x:v>Fornecedor C</x:v>
      </x:c>
      <x:c r="D24" s="16" t="str">
        <x:v>Hortifruti</x:v>
      </x:c>
      <x:c r="E24" s="16" t="str">
        <x:v>Ana</x:v>
      </x:c>
      <x:c r="F24" s="17" t="n">
        <x:v>145</x:v>
      </x:c>
      <x:c r="G24" s="17" t="n">
        <x:v>52</x:v>
      </x:c>
      <x:c r="H24" s="17" t="n">
        <x:v>2</x:v>
      </x:c>
    </x:row>
    <x:row r="25">
      <x:c r="A25" s="15" t="n">
        <x:v>46182</x:v>
      </x:c>
      <x:c r="B25" s="16" t="str">
        <x:v>CONF-1024</x:v>
      </x:c>
      <x:c r="C25" s="16" t="str">
        <x:v>Fornecedor E</x:v>
      </x:c>
      <x:c r="D25" s="16" t="str">
        <x:v>Limpeza</x:v>
      </x:c>
      <x:c r="E25" s="16" t="str">
        <x:v>Carlos</x:v>
      </x:c>
      <x:c r="F25" s="17" t="n">
        <x:v>105</x:v>
      </x:c>
      <x:c r="G25" s="17" t="n">
        <x:v>41</x:v>
      </x:c>
      <x:c r="H25" s="17" t="n">
        <x:v>1</x:v>
      </x:c>
    </x:row>
    <x:row r="26">
      <x:c r="A26" s="15" t="n">
        <x:v>46183</x:v>
      </x:c>
      <x:c r="B26" s="16" t="str">
        <x:v>CONF-1025</x:v>
      </x:c>
      <x:c r="C26" s="16" t="str">
        <x:v>Fornecedor A</x:v>
      </x:c>
      <x:c r="D26" s="16" t="str">
        <x:v>Mercearia</x:v>
      </x:c>
      <x:c r="E26" s="16" t="str">
        <x:v>Marcos</x:v>
      </x:c>
      <x:c r="F26" s="17" t="n">
        <x:v>190</x:v>
      </x:c>
      <x:c r="G26" s="17" t="n">
        <x:v>76</x:v>
      </x:c>
      <x:c r="H26" s="17" t="n">
        <x:v>3</x:v>
      </x:c>
    </x:row>
  </x:sheetData>
  <x:conditionalFormatting sqref="H2:H26">
    <x:cfRule type="cellIs" dxfId="0" priority="1" operator="greaterThan">
      <x:formula>2</x:formula>
    </x:cfRule>
  </x:conditionalFormatting>
  <x:conditionalFormatting sqref="F2:F26">
    <x:cfRule type="dataBar" priority="2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{0DEED22A-C25B-FFDC-F41C-C046F5B7403A}</x14:id>
        </x:ext>
      </x:extLst>
    </x:cfRule>
  </x:conditionalFormatting>
  <x:conditionalFormatting sqref="G2:G26">
    <x:cfRule type="dataBar" priority="3">
      <x:dataBar>
        <x:cfvo type="min"/>
        <x:cfvo type="max"/>
        <x:color rgb="F59E0B"/>
      </x:dataBar>
      <x:extLst>
        <x:ext xmlns:x14="http://schemas.microsoft.com/office/spreadsheetml/2009/9/main" uri="{B025F937-C7B1-47D3-B67F-A62EFF666E3E}">
          <x14:id>{85E01307-CB29-AA9D-330E-6117E6478F8E}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19034b54c11444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0DEED22A-C25B-FFDC-F41C-C046F5B7403A}">
            <x14:dataBar gradient="1">
              <x14:cfvo type="min"/>
              <x14:cfvo type="max"/>
              <x14:fillColor rgb="60A5FA"/>
            </x14:dataBar>
          </x14:cfRule>
          <xm:sqref>F2:F26</xm:sqref>
        </x14:conditionalFormatting>
        <x14:conditionalFormatting>
          <x14:cfRule type="dataBar" priority="3" id="{85E01307-CB29-AA9D-330E-6117E6478F8E}">
            <x14:dataBar gradient="1">
              <x14:cfvo type="min"/>
              <x14:cfvo type="max"/>
              <x14:fillColor rgb="F59E0B"/>
            </x14:dataBar>
          </x14:cfRule>
          <xm:sqref>G2:G26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4" t="str">
        <x:v>Arquivo de exemplo para o Dashboard de Conferência de Mercadorias</x:v>
      </x:c>
    </x:row>
    <x:row r="3">
      <x:c r="A3" s="32" t="str">
        <x:v>Como usar</x:v>
      </x:c>
      <x:c r="B3" s="32" t="str">
        <x:v>No app Streamlit, escolha 'Importar arquivo CSV/Excel' e envie este arquivo.</x:v>
      </x:c>
    </x:row>
    <x:row r="4">
      <x:c r="A4" s="33" t="str">
        <x:v>Aba de dados</x:v>
      </x:c>
      <x:c r="B4" s="34" t="str">
        <x:v>Use a aba Dados_Conferencia.</x:v>
      </x:c>
    </x:row>
    <x:row r="5">
      <x:c r="A5" s="33" t="str">
        <x:v>Coluna data</x:v>
      </x:c>
      <x:c r="B5" s="34" t="str">
        <x:v>Deve conter a data da conferência.</x:v>
      </x:c>
    </x:row>
    <x:row r="6">
      <x:c r="A6" s="33" t="str">
        <x:v>conferencia_id</x:v>
      </x:c>
      <x:c r="B6" s="34" t="str">
        <x:v>Identificador único da conferência.</x:v>
      </x:c>
    </x:row>
    <x:row r="7">
      <x:c r="A7" s="33" t="str">
        <x:v>fornecedor</x:v>
      </x:c>
      <x:c r="B7" s="34" t="str">
        <x:v>Nome do fornecedor.</x:v>
      </x:c>
    </x:row>
    <x:row r="8">
      <x:c r="A8" s="33" t="str">
        <x:v>tipo_mercadoria</x:v>
      </x:c>
      <x:c r="B8" s="34" t="str">
        <x:v>Categoria da mercadoria.</x:v>
      </x:c>
    </x:row>
    <x:row r="9">
      <x:c r="A9" s="33" t="str">
        <x:v>conferente</x:v>
      </x:c>
      <x:c r="B9" s="34" t="str">
        <x:v>Pessoa responsável pela conferência.</x:v>
      </x:c>
    </x:row>
    <x:row r="10">
      <x:c r="A10" s="33" t="str">
        <x:v>volume_conferido</x:v>
      </x:c>
      <x:c r="B10" s="34" t="str">
        <x:v>Quantidade/volume conferido.</x:v>
      </x:c>
    </x:row>
    <x:row r="11">
      <x:c r="A11" s="33" t="str">
        <x:v>tempo_minutos</x:v>
      </x:c>
      <x:c r="B11" s="34" t="str">
        <x:v>Tempo total da conferência em minutos.</x:v>
      </x:c>
    </x:row>
    <x:row r="12">
      <x:c r="A12" s="33" t="str">
        <x:v>divergencias</x:v>
      </x:c>
      <x:c r="B12" s="34" t="str">
        <x:v>Quantidade de divergências encontradas.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</x:cols>
  <x:sheetData>
    <x:row r="1">
      <x:c r="A1" s="24" t="str">
        <x:v>Resumo automático no Excel</x:v>
      </x:c>
    </x:row>
    <x:row r="3">
      <x:c r="A3" s="5" t="str">
        <x:v>Indicador</x:v>
      </x:c>
      <x:c r="B3" s="5" t="str">
        <x:v>Valor</x:v>
      </x:c>
    </x:row>
    <x:row r="4">
      <x:c r="A4" s="29" t="str">
        <x:v>Volume total</x:v>
      </x:c>
      <x:c r="B4" s="38" t="n">
        <x:f>SUM(Dados_Conferencia!F2:F26)</x:f>
        <x:v>3820</x:v>
      </x:c>
    </x:row>
    <x:row r="5">
      <x:c r="A5" s="29" t="str">
        <x:v>Quantidade de conferências</x:v>
      </x:c>
      <x:c r="B5" s="38" t="n">
        <x:f>COUNTA(Dados_Conferencia!B2:B26)</x:f>
        <x:v>25</x:v>
      </x:c>
    </x:row>
    <x:row r="6">
      <x:c r="A6" s="29" t="str">
        <x:v>Tempo médio</x:v>
      </x:c>
      <x:c r="B6" s="38" t="n">
        <x:f>AVERAGE(Dados_Conferencia!G2:G26)</x:f>
        <x:v>57.52</x:v>
      </x:c>
    </x:row>
    <x:row r="7">
      <x:c r="A7" s="29" t="str">
        <x:v>Divergências totais</x:v>
      </x:c>
      <x:c r="B7" s="38" t="n">
        <x:f>SUM(Dados_Conferencia!H2:H26)</x:f>
        <x:v>49</x:v>
      </x:c>
    </x:row>
    <x:row r="8">
      <x:c r="A8" s="29" t="str">
        <x:v>Produtividade média vol/h</x:v>
      </x:c>
      <x:c r="B8" s="38" t="n">
        <x:f>SUM(Dados_Conferencia!F2:F26)/(SUM(Dados_Conferencia!G2:G26)/60)</x:f>
        <x:v>159.38803894297638</x:v>
      </x:c>
    </x:row>
  </x:sheetData>
  <x:mergeCells>
    <x:mergeCell ref="A1:D1"/>
  </x:mergeCells>
  <x:pageMargins left="0.7" right="0.7" top="0.75" bottom="0.75" header="0.3" footer="0.3"/>
</x:worksheet>
</file>